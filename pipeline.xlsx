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garbank.sharepoint.com/sites/GymCred/Documentos Compartilhados/Controle/Novos Negócios/Pipeline Academias/"/>
    </mc:Choice>
  </mc:AlternateContent>
  <xr:revisionPtr revIDLastSave="80" documentId="6_{B1A76B9C-D489-8E4F-91C7-035E9F344680}" xr6:coauthVersionLast="47" xr6:coauthVersionMax="47" xr10:uidLastSave="{72CAD181-1DF2-4661-A330-8A086D84B0B9}"/>
  <bookViews>
    <workbookView xWindow="-110" yWindow="-110" windowWidth="19420" windowHeight="10300" xr2:uid="{8017BD0A-1660-4F0C-B9A9-E8E9DC9F561E}"/>
  </bookViews>
  <sheets>
    <sheet name="Pipeline" sheetId="1" r:id="rId1"/>
    <sheet name="Carteira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K7" i="1"/>
  <c r="K6" i="1"/>
  <c r="H3" i="1"/>
  <c r="F3" i="1"/>
  <c r="J3" i="1" s="1"/>
  <c r="I3" i="1" s="1"/>
  <c r="H2" i="1"/>
  <c r="F2" i="1"/>
  <c r="J2" i="1" s="1"/>
  <c r="I2" i="1" s="1"/>
  <c r="H23" i="1"/>
  <c r="H22" i="1"/>
  <c r="H21" i="1"/>
  <c r="H20" i="1"/>
  <c r="H19" i="1"/>
  <c r="H18" i="1"/>
  <c r="H17" i="1"/>
  <c r="H16" i="1"/>
  <c r="H15" i="1"/>
  <c r="H14" i="1"/>
  <c r="H13" i="1"/>
  <c r="H12" i="1"/>
  <c r="F23" i="1"/>
  <c r="I23" i="1" s="1"/>
  <c r="J23" i="1" s="1"/>
  <c r="F22" i="1"/>
  <c r="I22" i="1" s="1"/>
  <c r="J22" i="1" s="1"/>
  <c r="F21" i="1"/>
  <c r="I21" i="1" s="1"/>
  <c r="J21" i="1" s="1"/>
  <c r="F20" i="1"/>
  <c r="I20" i="1" s="1"/>
  <c r="J20" i="1" s="1"/>
  <c r="F19" i="1"/>
  <c r="F18" i="1"/>
  <c r="F17" i="1"/>
  <c r="I17" i="1" s="1"/>
  <c r="J17" i="1" s="1"/>
  <c r="F16" i="1"/>
  <c r="I16" i="1" s="1"/>
  <c r="J16" i="1" s="1"/>
  <c r="F15" i="1"/>
  <c r="I15" i="1" s="1"/>
  <c r="J15" i="1" s="1"/>
  <c r="F14" i="1"/>
  <c r="I14" i="1" s="1"/>
  <c r="J14" i="1" s="1"/>
  <c r="F13" i="1"/>
  <c r="I13" i="1" s="1"/>
  <c r="J13" i="1" s="1"/>
  <c r="F12" i="1"/>
  <c r="I12" i="1" s="1"/>
  <c r="J12" i="1" s="1"/>
  <c r="H11" i="1"/>
  <c r="J11" i="1"/>
  <c r="D11" i="1"/>
  <c r="D8" i="1"/>
  <c r="D10" i="1"/>
  <c r="J10" i="1"/>
  <c r="H10" i="1"/>
  <c r="H9" i="1"/>
  <c r="H8" i="1"/>
  <c r="H7" i="1"/>
  <c r="H6" i="1"/>
  <c r="H5" i="1"/>
  <c r="H4" i="1"/>
  <c r="J8" i="1"/>
  <c r="I8" i="1" s="1"/>
  <c r="F9" i="1"/>
  <c r="J9" i="1" s="1"/>
  <c r="I19" i="1"/>
  <c r="J19" i="1" s="1"/>
  <c r="I18" i="1"/>
  <c r="J18" i="1" s="1"/>
  <c r="F7" i="1"/>
  <c r="J7" i="1" s="1"/>
  <c r="I7" i="1" s="1"/>
  <c r="F6" i="1"/>
  <c r="J6" i="1" s="1"/>
  <c r="F5" i="1"/>
  <c r="J5" i="1" s="1"/>
  <c r="F4" i="1"/>
  <c r="J4" i="1" s="1"/>
  <c r="I4" i="1" l="1"/>
  <c r="I5" i="1"/>
  <c r="I6" i="1"/>
  <c r="I9" i="1"/>
  <c r="I11" i="1"/>
  <c r="I10" i="1"/>
  <c r="D9" i="1"/>
</calcChain>
</file>

<file path=xl/sharedStrings.xml><?xml version="1.0" encoding="utf-8"?>
<sst xmlns="http://schemas.openxmlformats.org/spreadsheetml/2006/main" count="239" uniqueCount="114">
  <si>
    <t>aprovado</t>
  </si>
  <si>
    <t xml:space="preserve"> aprovado </t>
  </si>
  <si>
    <t xml:space="preserve"> aprovado</t>
  </si>
  <si>
    <t>Valor</t>
  </si>
  <si>
    <t>Status</t>
  </si>
  <si>
    <t>Cliente</t>
  </si>
  <si>
    <t xml:space="preserve">cimerian </t>
  </si>
  <si>
    <t xml:space="preserve">starkstrong </t>
  </si>
  <si>
    <t xml:space="preserve">total health </t>
  </si>
  <si>
    <t xml:space="preserve">Drako </t>
  </si>
  <si>
    <t>Parceiro</t>
  </si>
  <si>
    <t xml:space="preserve">Edu Dos santos </t>
  </si>
  <si>
    <t>Entrada</t>
  </si>
  <si>
    <t>Valor financiado</t>
  </si>
  <si>
    <t>Valor liquido da operação</t>
  </si>
  <si>
    <t xml:space="preserve">Mario </t>
  </si>
  <si>
    <t xml:space="preserve">CT Saúde </t>
  </si>
  <si>
    <t xml:space="preserve">Rafael Amarante Diniz </t>
  </si>
  <si>
    <t xml:space="preserve">Pedro Ivo Almeida Silva Romão Gomes </t>
  </si>
  <si>
    <t xml:space="preserve">Jean Carlos Silva de Souza </t>
  </si>
  <si>
    <t xml:space="preserve">Isabella de Moraes Masuko/João Pedro Ribeiro Perez </t>
  </si>
  <si>
    <t xml:space="preserve">Lucas Guimarães Nascimento </t>
  </si>
  <si>
    <t xml:space="preserve">Juliana Silva Souza Lima </t>
  </si>
  <si>
    <t xml:space="preserve">Danielly Rubbo </t>
  </si>
  <si>
    <t xml:space="preserve">Rodrigo Otavio Gomes Correa </t>
  </si>
  <si>
    <t xml:space="preserve">Samer Fakir </t>
  </si>
  <si>
    <t xml:space="preserve">Genio </t>
  </si>
  <si>
    <t xml:space="preserve">Patrícia de Cássia Moreira Pereira </t>
  </si>
  <si>
    <t>TC</t>
  </si>
  <si>
    <t>JPR</t>
  </si>
  <si>
    <t>TC Total</t>
  </si>
  <si>
    <t>TC liquida</t>
  </si>
  <si>
    <t>Move Fitness</t>
  </si>
  <si>
    <t>Supertech</t>
  </si>
  <si>
    <t>Metal Fitness</t>
  </si>
  <si>
    <t>CT Conexão</t>
  </si>
  <si>
    <t xml:space="preserve">Skyfit </t>
  </si>
  <si>
    <t>Supreme</t>
  </si>
  <si>
    <t>Panobianco</t>
  </si>
  <si>
    <t>Spartacus</t>
  </si>
  <si>
    <t>negado</t>
  </si>
  <si>
    <t>Total Fit (Smart Fit)</t>
  </si>
  <si>
    <t>Demerson Silva (Arapongas)</t>
  </si>
  <si>
    <t>Data Prevista de Desembolso</t>
  </si>
  <si>
    <t>Prioridade</t>
  </si>
  <si>
    <t>Localidade</t>
  </si>
  <si>
    <t>Data Emissão</t>
  </si>
  <si>
    <t>Valor Emissão</t>
  </si>
  <si>
    <t>Taxa</t>
  </si>
  <si>
    <t>Prazo</t>
  </si>
  <si>
    <t>Garantias</t>
  </si>
  <si>
    <t>Interfit</t>
  </si>
  <si>
    <t>Buckler</t>
  </si>
  <si>
    <t>Altamira/PA</t>
  </si>
  <si>
    <t>Aval Emissor e Sócios PF / Aval Fábrica e sócios PF / AF dos equipamentos</t>
  </si>
  <si>
    <t>Essential</t>
  </si>
  <si>
    <t>Cimerian</t>
  </si>
  <si>
    <t>Rio De Janeiro/RJ</t>
  </si>
  <si>
    <t>Cuiaba/MT</t>
  </si>
  <si>
    <t>Top Gym</t>
  </si>
  <si>
    <t>Florania/RN</t>
  </si>
  <si>
    <t>Dos Santos</t>
  </si>
  <si>
    <t>Teresina/PI</t>
  </si>
  <si>
    <t>Olimpica</t>
  </si>
  <si>
    <t>Lucas Do Rio Verde/MT</t>
  </si>
  <si>
    <t>Ruggery</t>
  </si>
  <si>
    <t>Brasnorte/MT</t>
  </si>
  <si>
    <t>Kaha</t>
  </si>
  <si>
    <t>Jundiai/SP</t>
  </si>
  <si>
    <t>São Paulo/SP</t>
  </si>
  <si>
    <t>Alessandra Weege &amp; Weege</t>
  </si>
  <si>
    <t>Ponta Grossa/PR</t>
  </si>
  <si>
    <t>Academia Meb Fitness</t>
  </si>
  <si>
    <t>Body Factory</t>
  </si>
  <si>
    <t>Sao Jose/SC</t>
  </si>
  <si>
    <t>Evolve</t>
  </si>
  <si>
    <t>Canoinhas/SC</t>
  </si>
  <si>
    <t>Kavera Cross</t>
  </si>
  <si>
    <t>Divinopolis/MG</t>
  </si>
  <si>
    <t>AT Alvarenga</t>
  </si>
  <si>
    <t>Campos Dos Goytacazes/RJ</t>
  </si>
  <si>
    <t>Vida Ativa</t>
  </si>
  <si>
    <t>Mage/RJ</t>
  </si>
  <si>
    <t>MLC</t>
  </si>
  <si>
    <t>Lima e Ribeiro</t>
  </si>
  <si>
    <t>Itapeva/MG</t>
  </si>
  <si>
    <t>Montes Claros/MG</t>
  </si>
  <si>
    <t>Romano</t>
  </si>
  <si>
    <t>Ribeira do Pombal/BA</t>
  </si>
  <si>
    <t>Power Run</t>
  </si>
  <si>
    <t>Cabo Frio/RJ</t>
  </si>
  <si>
    <t>Izi One (Technogym)</t>
  </si>
  <si>
    <t>Technogym</t>
  </si>
  <si>
    <t>Izi One (BRW)</t>
  </si>
  <si>
    <t>BRW</t>
  </si>
  <si>
    <t>LFA</t>
  </si>
  <si>
    <t>VP</t>
  </si>
  <si>
    <t>Kormann</t>
  </si>
  <si>
    <t>ALF</t>
  </si>
  <si>
    <t>Sao Paulo/SP</t>
  </si>
  <si>
    <t>JPR Health (1) Supertech</t>
  </si>
  <si>
    <t>JPR Health (2) Cimerian</t>
  </si>
  <si>
    <t>Total Health</t>
  </si>
  <si>
    <t>Taurus</t>
  </si>
  <si>
    <t>Promuscule (Romano)</t>
  </si>
  <si>
    <t>Promuscule (Power Run)</t>
  </si>
  <si>
    <t>Izi One (Buckler)</t>
  </si>
  <si>
    <t>Fabrica Ct</t>
  </si>
  <si>
    <t>Izi One (Total Health)</t>
  </si>
  <si>
    <t>Alta</t>
  </si>
  <si>
    <t>Media</t>
  </si>
  <si>
    <t>Baixa</t>
  </si>
  <si>
    <t>Desembolsado</t>
  </si>
  <si>
    <t>2S2026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</si>
</sst>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" fontId="0" fillId="0" borderId="0" xfId="0" applyNumberFormat="1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CF455-37C7-49A2-A1DC-22707877BFC7}">
  <dimension ref="A1:M26"/>
  <sheetViews>
    <sheetView showGridLines="0" tabSelected="1" topLeftCell="B7" zoomScaleNormal="70" workbookViewId="0">
      <selection activeCell="L17" sqref="L17"/>
    </sheetView>
  </sheetViews>
  <sheetFormatPr defaultColWidth="8.81640625" defaultRowHeight="14.5" x14ac:dyDescent="0.35"/>
  <cols>
    <col min="1" max="1" width="51.81640625" bestFit="1" customWidth="1"/>
    <col min="2" max="2" width="51.81640625" customWidth="1"/>
    <col min="3" max="3" width="12.6328125" customWidth="1"/>
    <col min="4" max="4" width="14" bestFit="1" customWidth="1"/>
    <col min="5" max="5" width="12.6328125" customWidth="1"/>
    <col min="6" max="6" width="20" bestFit="1" customWidth="1"/>
    <col min="7" max="9" width="12.6328125" customWidth="1"/>
    <col min="10" max="10" width="14.36328125" bestFit="1" customWidth="1"/>
    <col min="11" max="11" width="24.7265625" bestFit="1" customWidth="1"/>
    <col min="12" max="12" width="9.08984375" bestFit="1" customWidth="1"/>
    <col min="13" max="13" width="9.81640625" bestFit="1" customWidth="1"/>
  </cols>
  <sheetData>
    <row r="1" spans="1:13" x14ac:dyDescent="0.35">
      <c r="A1" s="6" t="s">
        <v>5</v>
      </c>
      <c r="B1" s="6" t="s">
        <v>10</v>
      </c>
      <c r="C1" s="7" t="s">
        <v>4</v>
      </c>
      <c r="D1" s="7" t="s">
        <v>3</v>
      </c>
      <c r="E1" s="7" t="s">
        <v>12</v>
      </c>
      <c r="F1" s="7" t="s">
        <v>14</v>
      </c>
      <c r="G1" s="7" t="s">
        <v>30</v>
      </c>
      <c r="H1" s="7" t="s">
        <v>31</v>
      </c>
      <c r="I1" s="7" t="s">
        <v>28</v>
      </c>
      <c r="J1" s="7" t="s">
        <v>13</v>
      </c>
      <c r="K1" s="7" t="s">
        <v>43</v>
      </c>
      <c r="L1" s="7" t="s">
        <v>44</v>
      </c>
    </row>
    <row r="2" spans="1:13" x14ac:dyDescent="0.35">
      <c r="A2" t="s">
        <v>38</v>
      </c>
      <c r="B2" t="s">
        <v>37</v>
      </c>
      <c r="C2" s="2" t="s">
        <v>0</v>
      </c>
      <c r="D2" s="3">
        <v>1179125.5</v>
      </c>
      <c r="E2" s="4">
        <v>0.1</v>
      </c>
      <c r="F2" s="3">
        <f t="shared" ref="F2:F7" si="0">D2*(1-E2)</f>
        <v>1061212.95</v>
      </c>
      <c r="G2" s="5">
        <v>0.06</v>
      </c>
      <c r="H2" s="5">
        <f>G2-0.5%</f>
        <v>5.5E-2</v>
      </c>
      <c r="I2" s="3">
        <f t="shared" ref="I2:I8" si="1">J2*H2</f>
        <v>62092.24707446809</v>
      </c>
      <c r="J2" s="3">
        <f t="shared" ref="J2" si="2">F2/(1-G2)</f>
        <v>1128949.9468085107</v>
      </c>
      <c r="K2" s="8">
        <v>46142</v>
      </c>
      <c r="L2" t="s">
        <v>109</v>
      </c>
    </row>
    <row r="3" spans="1:13" x14ac:dyDescent="0.35">
      <c r="A3" t="s">
        <v>39</v>
      </c>
      <c r="B3" t="s">
        <v>33</v>
      </c>
      <c r="C3" s="2" t="s">
        <v>40</v>
      </c>
      <c r="D3" s="3">
        <v>125004</v>
      </c>
      <c r="E3" s="4">
        <v>0.2</v>
      </c>
      <c r="F3" s="3">
        <f t="shared" si="0"/>
        <v>100003.20000000001</v>
      </c>
      <c r="G3" s="5">
        <v>7.0000000000000007E-2</v>
      </c>
      <c r="H3" s="5">
        <f>G3-0.5%</f>
        <v>6.5000000000000002E-2</v>
      </c>
      <c r="I3" s="3">
        <f t="shared" si="1"/>
        <v>6989.4709677419369</v>
      </c>
      <c r="J3" s="3">
        <f t="shared" ref="J3" si="3">F3/(1-G3)</f>
        <v>107530.32258064518</v>
      </c>
      <c r="K3" s="8">
        <v>46142</v>
      </c>
      <c r="L3" t="s">
        <v>109</v>
      </c>
    </row>
    <row r="4" spans="1:13" x14ac:dyDescent="0.35">
      <c r="A4" t="s">
        <v>36</v>
      </c>
      <c r="B4" t="s">
        <v>6</v>
      </c>
      <c r="C4" s="2" t="s">
        <v>1</v>
      </c>
      <c r="D4" s="3">
        <v>2350062.96</v>
      </c>
      <c r="E4" s="4">
        <v>0.2</v>
      </c>
      <c r="F4" s="3">
        <f t="shared" si="0"/>
        <v>1880050.368</v>
      </c>
      <c r="G4" s="5">
        <v>6.5000000000000002E-2</v>
      </c>
      <c r="H4" s="5">
        <f>G4-0.5%</f>
        <v>6.0000000000000005E-2</v>
      </c>
      <c r="I4" s="3">
        <f t="shared" si="1"/>
        <v>120644.94340106953</v>
      </c>
      <c r="J4" s="3">
        <f t="shared" ref="J4:J8" si="4">F4/(1-G4)</f>
        <v>2010749.0566844919</v>
      </c>
      <c r="K4" s="8">
        <v>46142</v>
      </c>
      <c r="L4" t="s">
        <v>109</v>
      </c>
    </row>
    <row r="5" spans="1:13" x14ac:dyDescent="0.35">
      <c r="A5" t="s">
        <v>11</v>
      </c>
      <c r="B5" t="s">
        <v>6</v>
      </c>
      <c r="C5" s="2" t="s">
        <v>1</v>
      </c>
      <c r="D5" s="3">
        <v>416833.56</v>
      </c>
      <c r="E5" s="4">
        <v>0.1</v>
      </c>
      <c r="F5" s="3">
        <f t="shared" si="0"/>
        <v>375150.20400000003</v>
      </c>
      <c r="G5" s="5">
        <v>5.5E-2</v>
      </c>
      <c r="H5" s="5">
        <f t="shared" ref="H5:H23" si="5">G5-0.5%</f>
        <v>0.05</v>
      </c>
      <c r="I5" s="3">
        <f t="shared" si="1"/>
        <v>19849.217142857146</v>
      </c>
      <c r="J5" s="3">
        <f t="shared" si="4"/>
        <v>396984.34285714291</v>
      </c>
      <c r="K5" s="8">
        <v>46099</v>
      </c>
      <c r="L5" t="s">
        <v>109</v>
      </c>
    </row>
    <row r="6" spans="1:13" x14ac:dyDescent="0.35">
      <c r="A6" t="s">
        <v>15</v>
      </c>
      <c r="B6" t="s">
        <v>6</v>
      </c>
      <c r="C6" s="2" t="s">
        <v>2</v>
      </c>
      <c r="D6" s="3">
        <v>201920</v>
      </c>
      <c r="E6" s="4">
        <v>0.1</v>
      </c>
      <c r="F6" s="3">
        <f t="shared" si="0"/>
        <v>181728</v>
      </c>
      <c r="G6" s="5">
        <v>5.5E-2</v>
      </c>
      <c r="H6" s="5">
        <f t="shared" si="5"/>
        <v>0.05</v>
      </c>
      <c r="I6" s="3">
        <f t="shared" si="1"/>
        <v>9615.2380952380972</v>
      </c>
      <c r="J6" s="3">
        <f t="shared" si="4"/>
        <v>192304.76190476192</v>
      </c>
      <c r="K6" s="8">
        <f>K4+1</f>
        <v>46143</v>
      </c>
      <c r="L6" t="s">
        <v>109</v>
      </c>
    </row>
    <row r="7" spans="1:13" x14ac:dyDescent="0.35">
      <c r="A7" t="s">
        <v>16</v>
      </c>
      <c r="B7" t="s">
        <v>7</v>
      </c>
      <c r="C7" s="2" t="s">
        <v>1</v>
      </c>
      <c r="D7" s="3">
        <v>1234375.8899999999</v>
      </c>
      <c r="E7" s="4">
        <v>0.5</v>
      </c>
      <c r="F7" s="3">
        <f t="shared" si="0"/>
        <v>617187.94499999995</v>
      </c>
      <c r="G7" s="5">
        <v>6.5000000000000002E-2</v>
      </c>
      <c r="H7" s="5">
        <f t="shared" si="5"/>
        <v>6.0000000000000005E-2</v>
      </c>
      <c r="I7" s="3">
        <f t="shared" si="1"/>
        <v>39605.643529411762</v>
      </c>
      <c r="J7" s="3">
        <f t="shared" si="4"/>
        <v>660094.05882352928</v>
      </c>
      <c r="K7" s="8">
        <f>K6+1</f>
        <v>46144</v>
      </c>
      <c r="L7" t="s">
        <v>109</v>
      </c>
    </row>
    <row r="8" spans="1:13" x14ac:dyDescent="0.35">
      <c r="A8" t="s">
        <v>41</v>
      </c>
      <c r="B8" t="s">
        <v>8</v>
      </c>
      <c r="C8" s="2" t="s">
        <v>1</v>
      </c>
      <c r="D8" s="3">
        <f t="shared" ref="D8:D9" si="6">F8/(1-E8)</f>
        <v>1129916</v>
      </c>
      <c r="E8" s="4">
        <v>0.2</v>
      </c>
      <c r="F8" s="3">
        <v>903932.8</v>
      </c>
      <c r="G8" s="5">
        <v>6.5000000000000002E-2</v>
      </c>
      <c r="H8" s="5">
        <f t="shared" si="5"/>
        <v>6.0000000000000005E-2</v>
      </c>
      <c r="I8" s="3">
        <f t="shared" si="1"/>
        <v>58006.382887700544</v>
      </c>
      <c r="J8" s="3">
        <f t="shared" si="4"/>
        <v>966773.04812834226</v>
      </c>
      <c r="K8" s="8">
        <f>K7+1</f>
        <v>46145</v>
      </c>
      <c r="L8" t="s">
        <v>109</v>
      </c>
    </row>
    <row r="9" spans="1:13" x14ac:dyDescent="0.35">
      <c r="A9" t="s">
        <v>29</v>
      </c>
      <c r="B9" t="s">
        <v>6</v>
      </c>
      <c r="C9" s="2" t="s">
        <v>2</v>
      </c>
      <c r="D9" s="3">
        <f t="shared" si="6"/>
        <v>777355.45</v>
      </c>
      <c r="E9" s="4">
        <v>0.2</v>
      </c>
      <c r="F9" s="3">
        <f>665116.96-43232.6</f>
        <v>621884.36</v>
      </c>
      <c r="G9" s="5">
        <v>6.5000000000000002E-2</v>
      </c>
      <c r="H9" s="5">
        <f t="shared" si="5"/>
        <v>6.0000000000000005E-2</v>
      </c>
      <c r="I9" s="3">
        <f>J9*H9</f>
        <v>39907.017754010696</v>
      </c>
      <c r="J9" s="3">
        <f>F9/(1-G9)</f>
        <v>665116.96256684489</v>
      </c>
      <c r="K9" s="8">
        <v>46099</v>
      </c>
      <c r="L9" t="s">
        <v>109</v>
      </c>
      <c r="M9" s="1"/>
    </row>
    <row r="10" spans="1:13" x14ac:dyDescent="0.35">
      <c r="A10" t="s">
        <v>32</v>
      </c>
      <c r="B10" t="s">
        <v>33</v>
      </c>
      <c r="C10" s="2" t="s">
        <v>112</v>
      </c>
      <c r="D10" s="3">
        <f>F10/(1-E10)</f>
        <v>674871.17499999993</v>
      </c>
      <c r="E10" s="4">
        <v>0.2</v>
      </c>
      <c r="F10" s="3">
        <v>539896.93999999994</v>
      </c>
      <c r="G10" s="5">
        <v>7.4999999999999997E-2</v>
      </c>
      <c r="H10" s="5">
        <f t="shared" si="5"/>
        <v>6.9999999999999993E-2</v>
      </c>
      <c r="I10" s="3">
        <f>J10*H10</f>
        <v>40857.065729729722</v>
      </c>
      <c r="J10" s="3">
        <f>F10/(1-G10)</f>
        <v>583672.3675675675</v>
      </c>
      <c r="K10" s="8" t="s">
        <v>113</v>
      </c>
      <c r="L10" t="s">
        <v>109</v>
      </c>
      <c r="M10" s="1"/>
    </row>
    <row r="11" spans="1:13" x14ac:dyDescent="0.35">
      <c r="A11" t="s">
        <v>35</v>
      </c>
      <c r="B11" t="s">
        <v>34</v>
      </c>
      <c r="C11" s="2" t="s">
        <v>112</v>
      </c>
      <c r="D11" s="3">
        <f>F11/(1-E11)</f>
        <v>300000</v>
      </c>
      <c r="E11" s="4">
        <v>0</v>
      </c>
      <c r="F11" s="3">
        <v>300000</v>
      </c>
      <c r="G11" s="5">
        <v>7.0000000000000007E-2</v>
      </c>
      <c r="H11" s="5">
        <f t="shared" si="5"/>
        <v>6.5000000000000002E-2</v>
      </c>
      <c r="I11" s="3">
        <f>J11*H11</f>
        <v>20967.741935483875</v>
      </c>
      <c r="J11" s="3">
        <f>F11/(1-G11)</f>
        <v>322580.64516129036</v>
      </c>
      <c r="K11" s="8" t="s">
        <v>113</v>
      </c>
      <c r="L11" t="s">
        <v>109</v>
      </c>
      <c r="M11" s="1"/>
    </row>
    <row r="12" spans="1:13" x14ac:dyDescent="0.35">
      <c r="A12" t="s">
        <v>17</v>
      </c>
      <c r="B12" t="s">
        <v>9</v>
      </c>
      <c r="C12" s="2" t="s">
        <v>2</v>
      </c>
      <c r="D12" s="3">
        <v>2000000</v>
      </c>
      <c r="E12" s="4">
        <v>0.2</v>
      </c>
      <c r="F12" s="3">
        <f t="shared" ref="F12:F23" si="7">D12*(1-E12)</f>
        <v>1600000</v>
      </c>
      <c r="G12" s="5">
        <v>0.05</v>
      </c>
      <c r="H12" s="5">
        <f t="shared" si="5"/>
        <v>4.5000000000000005E-2</v>
      </c>
      <c r="I12" s="3">
        <f t="shared" ref="I12:I23" si="8">F12*G12</f>
        <v>80000</v>
      </c>
      <c r="J12" s="3">
        <f t="shared" ref="J12:J23" si="9">F12+I12</f>
        <v>1680000</v>
      </c>
      <c r="K12" s="8" t="s">
        <v>113</v>
      </c>
      <c r="L12" t="s">
        <v>109</v>
      </c>
    </row>
    <row r="13" spans="1:13" x14ac:dyDescent="0.35">
      <c r="A13" t="s">
        <v>18</v>
      </c>
      <c r="B13" t="s">
        <v>9</v>
      </c>
      <c r="C13" s="2" t="s">
        <v>2</v>
      </c>
      <c r="D13" s="3">
        <v>2000000</v>
      </c>
      <c r="E13" s="4">
        <v>0.2</v>
      </c>
      <c r="F13" s="3">
        <f t="shared" si="7"/>
        <v>1600000</v>
      </c>
      <c r="G13" s="5">
        <v>0.05</v>
      </c>
      <c r="H13" s="5">
        <f t="shared" si="5"/>
        <v>4.5000000000000005E-2</v>
      </c>
      <c r="I13" s="3">
        <f t="shared" si="8"/>
        <v>80000</v>
      </c>
      <c r="J13" s="3">
        <f t="shared" si="9"/>
        <v>1680000</v>
      </c>
      <c r="K13" s="8" t="s">
        <v>113</v>
      </c>
      <c r="L13" t="s">
        <v>109</v>
      </c>
    </row>
    <row r="14" spans="1:13" x14ac:dyDescent="0.35">
      <c r="A14" t="s">
        <v>19</v>
      </c>
      <c r="B14" t="s">
        <v>9</v>
      </c>
      <c r="C14" s="2" t="s">
        <v>2</v>
      </c>
      <c r="D14" s="3">
        <v>2000000</v>
      </c>
      <c r="E14" s="4">
        <v>0.2</v>
      </c>
      <c r="F14" s="3">
        <f t="shared" si="7"/>
        <v>1600000</v>
      </c>
      <c r="G14" s="5">
        <v>0.05</v>
      </c>
      <c r="H14" s="5">
        <f t="shared" si="5"/>
        <v>4.5000000000000005E-2</v>
      </c>
      <c r="I14" s="3">
        <f t="shared" si="8"/>
        <v>80000</v>
      </c>
      <c r="J14" s="3">
        <f t="shared" si="9"/>
        <v>1680000</v>
      </c>
      <c r="K14" s="8" t="s">
        <v>113</v>
      </c>
      <c r="L14" t="s">
        <v>109</v>
      </c>
    </row>
    <row r="15" spans="1:13" x14ac:dyDescent="0.35">
      <c r="A15" t="s">
        <v>20</v>
      </c>
      <c r="B15" t="s">
        <v>9</v>
      </c>
      <c r="C15" s="2" t="s">
        <v>2</v>
      </c>
      <c r="D15" s="3">
        <v>4000000</v>
      </c>
      <c r="E15" s="4">
        <v>0.2</v>
      </c>
      <c r="F15" s="3">
        <f t="shared" si="7"/>
        <v>3200000</v>
      </c>
      <c r="G15" s="5">
        <v>0.05</v>
      </c>
      <c r="H15" s="5">
        <f t="shared" si="5"/>
        <v>4.5000000000000005E-2</v>
      </c>
      <c r="I15" s="3">
        <f t="shared" si="8"/>
        <v>160000</v>
      </c>
      <c r="J15" s="3">
        <f t="shared" si="9"/>
        <v>3360000</v>
      </c>
      <c r="K15" s="8" t="s">
        <v>113</v>
      </c>
      <c r="L15" t="s">
        <v>109</v>
      </c>
    </row>
    <row r="16" spans="1:13" x14ac:dyDescent="0.35">
      <c r="A16" t="s">
        <v>21</v>
      </c>
      <c r="B16" t="s">
        <v>9</v>
      </c>
      <c r="C16" s="2" t="s">
        <v>2</v>
      </c>
      <c r="D16" s="3">
        <v>2000000</v>
      </c>
      <c r="E16" s="4">
        <v>0.2</v>
      </c>
      <c r="F16" s="3">
        <f t="shared" si="7"/>
        <v>1600000</v>
      </c>
      <c r="G16" s="5">
        <v>0.05</v>
      </c>
      <c r="H16" s="5">
        <f t="shared" si="5"/>
        <v>4.5000000000000005E-2</v>
      </c>
      <c r="I16" s="3">
        <f t="shared" si="8"/>
        <v>80000</v>
      </c>
      <c r="J16" s="3">
        <f t="shared" si="9"/>
        <v>1680000</v>
      </c>
      <c r="K16" s="8" t="s">
        <v>113</v>
      </c>
      <c r="L16" t="s">
        <v>109</v>
      </c>
    </row>
    <row r="17" spans="1:12" x14ac:dyDescent="0.35">
      <c r="A17" t="s">
        <v>22</v>
      </c>
      <c r="B17" t="s">
        <v>9</v>
      </c>
      <c r="C17" s="2" t="s">
        <v>2</v>
      </c>
      <c r="D17" s="3">
        <v>3500000</v>
      </c>
      <c r="E17" s="4">
        <v>0.2</v>
      </c>
      <c r="F17" s="3">
        <f t="shared" si="7"/>
        <v>2800000</v>
      </c>
      <c r="G17" s="5">
        <v>0.05</v>
      </c>
      <c r="H17" s="5">
        <f t="shared" si="5"/>
        <v>4.5000000000000005E-2</v>
      </c>
      <c r="I17" s="3">
        <f t="shared" si="8"/>
        <v>140000</v>
      </c>
      <c r="J17" s="3">
        <f t="shared" si="9"/>
        <v>2940000</v>
      </c>
      <c r="K17" s="8" t="s">
        <v>113</v>
      </c>
      <c r="L17" t="s">
        <v>110</v>
      </c>
    </row>
    <row r="18" spans="1:12" x14ac:dyDescent="0.35">
      <c r="A18" t="s">
        <v>23</v>
      </c>
      <c r="B18" t="s">
        <v>9</v>
      </c>
      <c r="C18" s="2" t="s">
        <v>2</v>
      </c>
      <c r="D18" s="3">
        <v>3360000</v>
      </c>
      <c r="E18" s="4">
        <v>0.2</v>
      </c>
      <c r="F18" s="3">
        <f t="shared" si="7"/>
        <v>2688000</v>
      </c>
      <c r="G18" s="5">
        <v>0.05</v>
      </c>
      <c r="H18" s="5">
        <f t="shared" si="5"/>
        <v>4.5000000000000005E-2</v>
      </c>
      <c r="I18" s="3">
        <f t="shared" si="8"/>
        <v>134400</v>
      </c>
      <c r="J18" s="3">
        <f t="shared" si="9"/>
        <v>2822400</v>
      </c>
      <c r="K18" s="8" t="s">
        <v>113</v>
      </c>
      <c r="L18" t="s">
        <v>110</v>
      </c>
    </row>
    <row r="19" spans="1:12" x14ac:dyDescent="0.35">
      <c r="A19" t="s">
        <v>24</v>
      </c>
      <c r="B19" t="s">
        <v>9</v>
      </c>
      <c r="C19" s="2" t="s">
        <v>2</v>
      </c>
      <c r="D19" s="3">
        <v>2000000</v>
      </c>
      <c r="E19" s="4">
        <v>0</v>
      </c>
      <c r="F19" s="3">
        <f t="shared" si="7"/>
        <v>2000000</v>
      </c>
      <c r="G19" s="5">
        <v>0.05</v>
      </c>
      <c r="H19" s="5">
        <f t="shared" si="5"/>
        <v>4.5000000000000005E-2</v>
      </c>
      <c r="I19" s="3">
        <f t="shared" si="8"/>
        <v>100000</v>
      </c>
      <c r="J19" s="3">
        <f t="shared" si="9"/>
        <v>2100000</v>
      </c>
      <c r="K19" s="8" t="s">
        <v>113</v>
      </c>
      <c r="L19" t="s">
        <v>110</v>
      </c>
    </row>
    <row r="20" spans="1:12" x14ac:dyDescent="0.35">
      <c r="A20" t="s">
        <v>25</v>
      </c>
      <c r="B20" t="s">
        <v>9</v>
      </c>
      <c r="C20" s="2" t="s">
        <v>2</v>
      </c>
      <c r="D20" s="3"/>
      <c r="E20" s="2"/>
      <c r="F20" s="3">
        <f t="shared" si="7"/>
        <v>0</v>
      </c>
      <c r="G20" s="5">
        <v>0.05</v>
      </c>
      <c r="H20" s="5">
        <f t="shared" si="5"/>
        <v>4.5000000000000005E-2</v>
      </c>
      <c r="I20" s="3">
        <f t="shared" si="8"/>
        <v>0</v>
      </c>
      <c r="J20" s="3">
        <f t="shared" si="9"/>
        <v>0</v>
      </c>
      <c r="K20" s="8" t="s">
        <v>113</v>
      </c>
      <c r="L20" t="s">
        <v>110</v>
      </c>
    </row>
    <row r="21" spans="1:12" x14ac:dyDescent="0.35">
      <c r="A21" t="s">
        <v>26</v>
      </c>
      <c r="B21" t="s">
        <v>9</v>
      </c>
      <c r="C21" s="2" t="s">
        <v>2</v>
      </c>
      <c r="D21" s="3">
        <v>691400</v>
      </c>
      <c r="E21" s="4">
        <v>0.1</v>
      </c>
      <c r="F21" s="3">
        <f t="shared" si="7"/>
        <v>622260</v>
      </c>
      <c r="G21" s="5">
        <v>0.05</v>
      </c>
      <c r="H21" s="5">
        <f t="shared" si="5"/>
        <v>4.5000000000000005E-2</v>
      </c>
      <c r="I21" s="3">
        <f t="shared" si="8"/>
        <v>31113</v>
      </c>
      <c r="J21" s="3">
        <f t="shared" si="9"/>
        <v>653373</v>
      </c>
      <c r="K21" s="8" t="s">
        <v>113</v>
      </c>
      <c r="L21" t="s">
        <v>111</v>
      </c>
    </row>
    <row r="22" spans="1:12" x14ac:dyDescent="0.35">
      <c r="A22" t="s">
        <v>27</v>
      </c>
      <c r="B22" t="s">
        <v>9</v>
      </c>
      <c r="C22" s="2" t="s">
        <v>2</v>
      </c>
      <c r="D22" s="3">
        <v>2000000</v>
      </c>
      <c r="E22" s="4">
        <v>0.2</v>
      </c>
      <c r="F22" s="3">
        <f t="shared" si="7"/>
        <v>1600000</v>
      </c>
      <c r="G22" s="5">
        <v>0.05</v>
      </c>
      <c r="H22" s="5">
        <f t="shared" si="5"/>
        <v>4.5000000000000005E-2</v>
      </c>
      <c r="I22" s="3">
        <f t="shared" si="8"/>
        <v>80000</v>
      </c>
      <c r="J22" s="3">
        <f t="shared" si="9"/>
        <v>1680000</v>
      </c>
      <c r="K22" s="8" t="s">
        <v>113</v>
      </c>
      <c r="L22" t="s">
        <v>111</v>
      </c>
    </row>
    <row r="23" spans="1:12" x14ac:dyDescent="0.35">
      <c r="A23" t="s">
        <v>42</v>
      </c>
      <c r="B23" t="s">
        <v>9</v>
      </c>
      <c r="C23" s="2" t="s">
        <v>40</v>
      </c>
      <c r="D23" s="3">
        <v>2000000</v>
      </c>
      <c r="E23" s="4">
        <v>0.2</v>
      </c>
      <c r="F23" s="3">
        <f t="shared" si="7"/>
        <v>1600000</v>
      </c>
      <c r="G23" s="5">
        <v>0.05</v>
      </c>
      <c r="H23" s="5">
        <f t="shared" si="5"/>
        <v>4.5000000000000005E-2</v>
      </c>
      <c r="I23" s="3">
        <f t="shared" si="8"/>
        <v>80000</v>
      </c>
      <c r="J23" s="3">
        <f t="shared" si="9"/>
        <v>1680000</v>
      </c>
      <c r="K23" s="8" t="s">
        <v>113</v>
      </c>
      <c r="L23" t="s">
        <v>111</v>
      </c>
    </row>
    <row r="25" spans="1:12" x14ac:dyDescent="0.35">
      <c r="I25" s="1"/>
    </row>
    <row r="26" spans="1:12" x14ac:dyDescent="0.35">
      <c r="I2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2DD47-FF57-4D35-B195-489ADAFFFB06}">
  <dimension ref="A1:J30"/>
  <sheetViews>
    <sheetView showGridLines="0" zoomScale="70" zoomScaleNormal="70" workbookViewId="0">
      <selection activeCell="J1" sqref="J1:J1048576"/>
    </sheetView>
  </sheetViews>
  <sheetFormatPr defaultColWidth="8.81640625" defaultRowHeight="14.5" x14ac:dyDescent="0.35"/>
  <cols>
    <col min="1" max="1" width="51.81640625" bestFit="1" customWidth="1"/>
    <col min="2" max="2" width="51.81640625" customWidth="1"/>
    <col min="3" max="3" width="12.6328125" style="2" customWidth="1"/>
    <col min="4" max="4" width="14" style="2" bestFit="1" customWidth="1"/>
    <col min="5" max="6" width="12.6328125" style="2" customWidth="1"/>
    <col min="7" max="7" width="20" style="2" bestFit="1" customWidth="1"/>
    <col min="8" max="8" width="12.6328125" style="2" customWidth="1"/>
    <col min="9" max="9" width="60.90625" style="2" bestFit="1" customWidth="1"/>
    <col min="10" max="10" width="9.81640625" bestFit="1" customWidth="1"/>
  </cols>
  <sheetData>
    <row r="1" spans="1:10" x14ac:dyDescent="0.35">
      <c r="A1" s="6" t="s">
        <v>5</v>
      </c>
      <c r="B1" s="6" t="s">
        <v>10</v>
      </c>
      <c r="C1" s="7" t="s">
        <v>45</v>
      </c>
      <c r="D1" s="7" t="s">
        <v>46</v>
      </c>
      <c r="E1" s="7" t="s">
        <v>47</v>
      </c>
      <c r="F1" s="7" t="s">
        <v>96</v>
      </c>
      <c r="G1" s="7" t="s">
        <v>48</v>
      </c>
      <c r="H1" s="7" t="s">
        <v>49</v>
      </c>
      <c r="I1" s="7" t="s">
        <v>50</v>
      </c>
    </row>
    <row r="2" spans="1:10" x14ac:dyDescent="0.35">
      <c r="A2" t="s">
        <v>67</v>
      </c>
      <c r="B2" t="s">
        <v>56</v>
      </c>
      <c r="C2" s="2" t="s">
        <v>68</v>
      </c>
      <c r="D2" s="8">
        <v>45680</v>
      </c>
      <c r="E2" s="3">
        <v>628272.25</v>
      </c>
      <c r="F2" s="3">
        <v>503425.49432158994</v>
      </c>
      <c r="G2" s="5">
        <v>2.8000000000000001E-2</v>
      </c>
      <c r="H2" s="9">
        <v>36</v>
      </c>
      <c r="I2" s="5" t="s">
        <v>54</v>
      </c>
    </row>
    <row r="3" spans="1:10" x14ac:dyDescent="0.35">
      <c r="A3" t="s">
        <v>63</v>
      </c>
      <c r="B3" t="s">
        <v>56</v>
      </c>
      <c r="C3" s="2" t="s">
        <v>64</v>
      </c>
      <c r="D3" s="8">
        <v>45706</v>
      </c>
      <c r="E3" s="3">
        <v>721284.9</v>
      </c>
      <c r="F3" s="3">
        <v>562212.68655741191</v>
      </c>
      <c r="G3" s="5">
        <v>2.8000000000000001E-2</v>
      </c>
      <c r="H3" s="9">
        <v>36</v>
      </c>
      <c r="I3" s="5" t="s">
        <v>54</v>
      </c>
    </row>
    <row r="4" spans="1:10" x14ac:dyDescent="0.35">
      <c r="A4" t="s">
        <v>51</v>
      </c>
      <c r="B4" t="s">
        <v>52</v>
      </c>
      <c r="C4" s="2" t="s">
        <v>53</v>
      </c>
      <c r="D4" s="8">
        <v>45810</v>
      </c>
      <c r="E4" s="3">
        <v>2552151.7200000002</v>
      </c>
      <c r="F4" s="3">
        <v>2248128.9651456126</v>
      </c>
      <c r="G4" s="5">
        <v>2.8000000000000001E-2</v>
      </c>
      <c r="H4" s="9">
        <v>36</v>
      </c>
      <c r="I4" s="5" t="s">
        <v>54</v>
      </c>
    </row>
    <row r="5" spans="1:10" x14ac:dyDescent="0.35">
      <c r="A5" t="s">
        <v>70</v>
      </c>
      <c r="B5" t="s">
        <v>56</v>
      </c>
      <c r="C5" s="2" t="s">
        <v>71</v>
      </c>
      <c r="D5" s="8">
        <v>45832</v>
      </c>
      <c r="E5" s="3">
        <v>187308.42</v>
      </c>
      <c r="F5" s="3">
        <v>196333.21257883395</v>
      </c>
      <c r="G5" s="5">
        <v>0.03</v>
      </c>
      <c r="H5" s="9">
        <v>48</v>
      </c>
      <c r="I5" s="5" t="s">
        <v>54</v>
      </c>
    </row>
    <row r="6" spans="1:10" x14ac:dyDescent="0.35">
      <c r="A6" t="s">
        <v>61</v>
      </c>
      <c r="B6" t="s">
        <v>56</v>
      </c>
      <c r="C6" s="2" t="s">
        <v>62</v>
      </c>
      <c r="D6" s="8">
        <v>45798</v>
      </c>
      <c r="E6" s="3">
        <v>576941.31000000006</v>
      </c>
      <c r="F6" s="3">
        <v>238954.00655834225</v>
      </c>
      <c r="G6" s="5">
        <v>0.03</v>
      </c>
      <c r="H6" s="9">
        <v>48</v>
      </c>
      <c r="I6" s="5" t="s">
        <v>54</v>
      </c>
    </row>
    <row r="7" spans="1:10" x14ac:dyDescent="0.35">
      <c r="A7" t="s">
        <v>97</v>
      </c>
      <c r="B7" t="s">
        <v>56</v>
      </c>
      <c r="C7" s="2" t="s">
        <v>58</v>
      </c>
      <c r="D7" s="8">
        <v>45840</v>
      </c>
      <c r="E7" s="3">
        <v>891065.77</v>
      </c>
      <c r="F7" s="3">
        <v>1007229.8614039702</v>
      </c>
      <c r="G7" s="5">
        <v>0.03</v>
      </c>
      <c r="H7" s="9">
        <v>48</v>
      </c>
      <c r="I7" s="5" t="s">
        <v>54</v>
      </c>
    </row>
    <row r="8" spans="1:10" x14ac:dyDescent="0.35">
      <c r="A8" t="s">
        <v>55</v>
      </c>
      <c r="B8" t="s">
        <v>56</v>
      </c>
      <c r="C8" s="2" t="s">
        <v>57</v>
      </c>
      <c r="D8" s="8">
        <v>45749</v>
      </c>
      <c r="E8" s="3">
        <v>1051318.73</v>
      </c>
      <c r="F8" s="3">
        <v>1052690.6350154546</v>
      </c>
      <c r="G8" s="5">
        <v>0.03</v>
      </c>
      <c r="H8" s="9">
        <v>48</v>
      </c>
      <c r="I8" s="5" t="s">
        <v>54</v>
      </c>
    </row>
    <row r="9" spans="1:10" x14ac:dyDescent="0.35">
      <c r="A9" t="s">
        <v>65</v>
      </c>
      <c r="B9" t="s">
        <v>56</v>
      </c>
      <c r="C9" s="2" t="s">
        <v>66</v>
      </c>
      <c r="D9" s="8">
        <v>45685</v>
      </c>
      <c r="E9" s="3">
        <v>566456.63</v>
      </c>
      <c r="F9" s="3">
        <v>513057.6644751865</v>
      </c>
      <c r="G9" s="5">
        <v>0.03</v>
      </c>
      <c r="H9" s="9">
        <v>48</v>
      </c>
      <c r="I9" s="5" t="s">
        <v>54</v>
      </c>
      <c r="J9" s="1"/>
    </row>
    <row r="10" spans="1:10" x14ac:dyDescent="0.35">
      <c r="A10" t="s">
        <v>98</v>
      </c>
      <c r="B10" t="s">
        <v>56</v>
      </c>
      <c r="C10" s="2" t="s">
        <v>99</v>
      </c>
      <c r="D10" s="8">
        <v>45838</v>
      </c>
      <c r="E10" s="3">
        <v>318116.62</v>
      </c>
      <c r="F10" s="3">
        <v>345363.57540177059</v>
      </c>
      <c r="G10" s="5">
        <v>0.03</v>
      </c>
      <c r="H10" s="9">
        <v>48</v>
      </c>
      <c r="I10" s="5" t="s">
        <v>54</v>
      </c>
      <c r="J10" s="1"/>
    </row>
    <row r="11" spans="1:10" x14ac:dyDescent="0.35">
      <c r="A11" t="s">
        <v>59</v>
      </c>
      <c r="B11" t="s">
        <v>56</v>
      </c>
      <c r="C11" s="2" t="s">
        <v>60</v>
      </c>
      <c r="D11" s="8">
        <v>45831</v>
      </c>
      <c r="E11" s="3">
        <v>629575.78</v>
      </c>
      <c r="F11" s="3">
        <v>199892.44138998134</v>
      </c>
      <c r="G11" s="5">
        <v>0.03</v>
      </c>
      <c r="H11" s="9">
        <v>48</v>
      </c>
      <c r="I11" s="5" t="s">
        <v>54</v>
      </c>
      <c r="J11" s="1"/>
    </row>
    <row r="12" spans="1:10" x14ac:dyDescent="0.35">
      <c r="A12" t="s">
        <v>100</v>
      </c>
      <c r="B12" t="s">
        <v>33</v>
      </c>
      <c r="C12" s="2" t="s">
        <v>68</v>
      </c>
      <c r="D12" s="8">
        <v>45889</v>
      </c>
      <c r="E12" s="3">
        <v>734621.41</v>
      </c>
      <c r="F12" s="3">
        <v>738598.74492093432</v>
      </c>
      <c r="G12" s="5">
        <v>0.03</v>
      </c>
      <c r="H12" s="9">
        <v>36</v>
      </c>
      <c r="I12" s="5" t="s">
        <v>54</v>
      </c>
    </row>
    <row r="13" spans="1:10" x14ac:dyDescent="0.35">
      <c r="A13" t="s">
        <v>101</v>
      </c>
      <c r="B13" t="s">
        <v>56</v>
      </c>
      <c r="C13" s="2" t="s">
        <v>68</v>
      </c>
      <c r="D13" s="8">
        <v>45889</v>
      </c>
      <c r="E13" s="3">
        <v>379431.58</v>
      </c>
      <c r="F13" s="3">
        <v>358931.77122476901</v>
      </c>
      <c r="G13" s="5">
        <v>0.03</v>
      </c>
      <c r="H13" s="9">
        <v>24</v>
      </c>
      <c r="I13" s="5" t="s">
        <v>54</v>
      </c>
    </row>
    <row r="14" spans="1:10" x14ac:dyDescent="0.35">
      <c r="A14" t="s">
        <v>72</v>
      </c>
      <c r="B14" t="s">
        <v>56</v>
      </c>
      <c r="C14" s="2" t="s">
        <v>57</v>
      </c>
      <c r="D14" s="8">
        <v>45855</v>
      </c>
      <c r="E14" s="3">
        <v>406124.24</v>
      </c>
      <c r="F14" s="3">
        <v>452122.79157290509</v>
      </c>
      <c r="G14" s="5">
        <v>0.03</v>
      </c>
      <c r="H14" s="9">
        <v>48</v>
      </c>
      <c r="I14" s="5" t="s">
        <v>54</v>
      </c>
    </row>
    <row r="15" spans="1:10" x14ac:dyDescent="0.35">
      <c r="A15" t="s">
        <v>73</v>
      </c>
      <c r="B15" t="s">
        <v>102</v>
      </c>
      <c r="C15" s="2" t="s">
        <v>74</v>
      </c>
      <c r="D15" s="8">
        <v>45882</v>
      </c>
      <c r="E15" s="3">
        <v>255528.48</v>
      </c>
      <c r="F15" s="3">
        <v>257115.82207061822</v>
      </c>
      <c r="G15" s="5">
        <v>0.03</v>
      </c>
      <c r="H15" s="9">
        <v>48</v>
      </c>
      <c r="I15" s="5" t="s">
        <v>54</v>
      </c>
    </row>
    <row r="16" spans="1:10" x14ac:dyDescent="0.35">
      <c r="A16" t="s">
        <v>75</v>
      </c>
      <c r="B16" t="s">
        <v>56</v>
      </c>
      <c r="C16" s="2" t="s">
        <v>76</v>
      </c>
      <c r="D16" s="8">
        <v>45870</v>
      </c>
      <c r="E16" s="3">
        <v>213736.72</v>
      </c>
      <c r="F16" s="3">
        <v>224800.88884774971</v>
      </c>
      <c r="G16" s="5">
        <v>0.03</v>
      </c>
      <c r="H16" s="9">
        <v>48</v>
      </c>
      <c r="I16" s="5" t="s">
        <v>54</v>
      </c>
    </row>
    <row r="17" spans="1:9" x14ac:dyDescent="0.35">
      <c r="A17" t="s">
        <v>77</v>
      </c>
      <c r="B17" t="s">
        <v>56</v>
      </c>
      <c r="C17" s="2" t="s">
        <v>78</v>
      </c>
      <c r="D17" s="8">
        <v>45849</v>
      </c>
      <c r="E17" s="3">
        <v>172436.32</v>
      </c>
      <c r="F17" s="3">
        <v>162740.03389967658</v>
      </c>
      <c r="G17" s="5">
        <v>2.8000000000000001E-2</v>
      </c>
      <c r="H17" s="9">
        <v>48</v>
      </c>
      <c r="I17" s="5" t="s">
        <v>54</v>
      </c>
    </row>
    <row r="18" spans="1:9" x14ac:dyDescent="0.35">
      <c r="A18" t="s">
        <v>79</v>
      </c>
      <c r="B18" t="s">
        <v>56</v>
      </c>
      <c r="C18" s="2" t="s">
        <v>80</v>
      </c>
      <c r="D18" s="8">
        <v>45888</v>
      </c>
      <c r="E18" s="3">
        <v>94829.73</v>
      </c>
      <c r="F18" s="3">
        <v>89934.09952767787</v>
      </c>
      <c r="G18" s="5">
        <v>2.8000000000000001E-2</v>
      </c>
      <c r="H18" s="9">
        <v>48</v>
      </c>
      <c r="I18" s="5" t="s">
        <v>54</v>
      </c>
    </row>
    <row r="19" spans="1:9" x14ac:dyDescent="0.35">
      <c r="A19" t="s">
        <v>81</v>
      </c>
      <c r="B19" t="s">
        <v>34</v>
      </c>
      <c r="C19" s="2" t="s">
        <v>82</v>
      </c>
      <c r="D19" s="8">
        <v>45877</v>
      </c>
      <c r="E19" s="3">
        <v>60748.66</v>
      </c>
      <c r="F19" s="3">
        <v>55667.125857325875</v>
      </c>
      <c r="G19" s="5">
        <v>2.8000000000000001E-2</v>
      </c>
      <c r="H19" s="9">
        <v>48</v>
      </c>
      <c r="I19" s="5" t="s">
        <v>54</v>
      </c>
    </row>
    <row r="20" spans="1:9" x14ac:dyDescent="0.35">
      <c r="A20" t="s">
        <v>83</v>
      </c>
      <c r="B20" t="s">
        <v>34</v>
      </c>
      <c r="C20" s="2" t="s">
        <v>57</v>
      </c>
      <c r="D20" s="8">
        <v>45911</v>
      </c>
      <c r="E20" s="3">
        <v>261593.58</v>
      </c>
      <c r="F20" s="3">
        <v>286581.287286098</v>
      </c>
      <c r="G20" s="5">
        <v>0.03</v>
      </c>
      <c r="H20" s="9">
        <v>48</v>
      </c>
      <c r="I20" s="5" t="s">
        <v>54</v>
      </c>
    </row>
    <row r="21" spans="1:9" x14ac:dyDescent="0.35">
      <c r="A21" t="s">
        <v>84</v>
      </c>
      <c r="B21" t="s">
        <v>34</v>
      </c>
      <c r="C21" s="2" t="s">
        <v>85</v>
      </c>
      <c r="D21" s="8">
        <v>45917</v>
      </c>
      <c r="E21" s="3">
        <v>117182.51</v>
      </c>
      <c r="F21" s="3">
        <v>122642.81030543862</v>
      </c>
      <c r="G21" s="5">
        <v>0.03</v>
      </c>
      <c r="H21" s="9">
        <v>48</v>
      </c>
      <c r="I21" s="5" t="s">
        <v>54</v>
      </c>
    </row>
    <row r="22" spans="1:9" x14ac:dyDescent="0.35">
      <c r="A22" t="s">
        <v>103</v>
      </c>
      <c r="B22" t="s">
        <v>56</v>
      </c>
      <c r="C22" s="2" t="s">
        <v>86</v>
      </c>
      <c r="D22" s="8">
        <v>45958</v>
      </c>
      <c r="E22" s="3">
        <v>430107.53</v>
      </c>
      <c r="F22" s="3">
        <v>487078.43405395711</v>
      </c>
      <c r="G22" s="5">
        <v>0.03</v>
      </c>
      <c r="H22" s="9">
        <v>48</v>
      </c>
      <c r="I22" s="5" t="s">
        <v>54</v>
      </c>
    </row>
    <row r="23" spans="1:9" x14ac:dyDescent="0.35">
      <c r="A23" t="s">
        <v>104</v>
      </c>
      <c r="B23" t="s">
        <v>87</v>
      </c>
      <c r="C23" s="2" t="s">
        <v>88</v>
      </c>
      <c r="D23" s="8">
        <v>45922</v>
      </c>
      <c r="E23" s="3">
        <v>449197.86</v>
      </c>
      <c r="F23" s="3">
        <v>487694.77372614288</v>
      </c>
      <c r="G23" s="5">
        <v>0.03</v>
      </c>
      <c r="H23" s="9">
        <v>48</v>
      </c>
      <c r="I23" s="5" t="s">
        <v>54</v>
      </c>
    </row>
    <row r="24" spans="1:9" x14ac:dyDescent="0.35">
      <c r="A24" t="s">
        <v>105</v>
      </c>
      <c r="B24" t="s">
        <v>89</v>
      </c>
      <c r="C24" s="2" t="s">
        <v>88</v>
      </c>
      <c r="D24" s="8">
        <v>45924</v>
      </c>
      <c r="E24" s="3">
        <v>205405.41</v>
      </c>
      <c r="F24" s="3">
        <v>221953.19907446264</v>
      </c>
      <c r="G24" s="5">
        <v>0.03</v>
      </c>
      <c r="H24" s="9">
        <v>48</v>
      </c>
      <c r="I24" s="2" t="s">
        <v>54</v>
      </c>
    </row>
    <row r="25" spans="1:9" x14ac:dyDescent="0.35">
      <c r="A25" t="s">
        <v>106</v>
      </c>
      <c r="B25" t="s">
        <v>52</v>
      </c>
      <c r="C25" s="2" t="s">
        <v>69</v>
      </c>
      <c r="D25" s="8">
        <v>45988</v>
      </c>
      <c r="E25" s="3">
        <v>258102.93</v>
      </c>
      <c r="F25" s="3">
        <v>249427.28063374502</v>
      </c>
      <c r="G25" s="5">
        <v>2.1000000000000001E-2</v>
      </c>
      <c r="H25" s="9">
        <v>48</v>
      </c>
      <c r="I25" s="2" t="s">
        <v>54</v>
      </c>
    </row>
    <row r="26" spans="1:9" x14ac:dyDescent="0.35">
      <c r="A26" t="s">
        <v>107</v>
      </c>
      <c r="B26" t="s">
        <v>56</v>
      </c>
      <c r="C26" s="2" t="s">
        <v>90</v>
      </c>
      <c r="D26" s="8">
        <v>45980</v>
      </c>
      <c r="E26" s="3">
        <v>1320528.8</v>
      </c>
      <c r="F26" s="3">
        <v>1444094.6736509611</v>
      </c>
      <c r="G26" s="5">
        <v>2.5999999999999999E-2</v>
      </c>
      <c r="H26" s="9">
        <v>48</v>
      </c>
      <c r="I26" s="2" t="s">
        <v>54</v>
      </c>
    </row>
    <row r="27" spans="1:9" x14ac:dyDescent="0.35">
      <c r="A27" t="s">
        <v>91</v>
      </c>
      <c r="B27" t="s">
        <v>92</v>
      </c>
      <c r="C27" s="2" t="s">
        <v>69</v>
      </c>
      <c r="D27" s="8">
        <v>45989</v>
      </c>
      <c r="E27" s="3">
        <v>766719.38</v>
      </c>
      <c r="F27" s="3">
        <v>740852.93094638397</v>
      </c>
      <c r="G27" s="5">
        <v>2.1000000000000001E-2</v>
      </c>
      <c r="H27" s="9">
        <v>48</v>
      </c>
      <c r="I27" s="2" t="s">
        <v>54</v>
      </c>
    </row>
    <row r="28" spans="1:9" x14ac:dyDescent="0.35">
      <c r="A28" t="s">
        <v>108</v>
      </c>
      <c r="B28" t="s">
        <v>102</v>
      </c>
      <c r="C28" s="2" t="s">
        <v>69</v>
      </c>
      <c r="D28" s="8">
        <v>45972</v>
      </c>
      <c r="E28" s="3">
        <v>102682.05</v>
      </c>
      <c r="F28" s="3">
        <v>100371.38710227991</v>
      </c>
      <c r="G28" s="5">
        <v>2.1000000000000001E-2</v>
      </c>
      <c r="H28" s="9">
        <v>48</v>
      </c>
      <c r="I28" s="2" t="s">
        <v>54</v>
      </c>
    </row>
    <row r="29" spans="1:9" x14ac:dyDescent="0.35">
      <c r="A29" t="s">
        <v>93</v>
      </c>
      <c r="B29" t="s">
        <v>94</v>
      </c>
      <c r="C29" s="2" t="s">
        <v>69</v>
      </c>
      <c r="D29" s="8">
        <v>46022</v>
      </c>
      <c r="E29" s="3">
        <v>396068.23</v>
      </c>
      <c r="F29" s="3">
        <v>387090.60372002819</v>
      </c>
      <c r="G29" s="5">
        <v>2.1000000000000001E-2</v>
      </c>
      <c r="H29" s="9">
        <v>48</v>
      </c>
      <c r="I29" s="2" t="s">
        <v>54</v>
      </c>
    </row>
    <row r="30" spans="1:9" x14ac:dyDescent="0.35">
      <c r="A30" t="s">
        <v>95</v>
      </c>
      <c r="B30" t="s">
        <v>56</v>
      </c>
      <c r="C30" s="2" t="s">
        <v>69</v>
      </c>
      <c r="D30" s="8">
        <v>46008</v>
      </c>
      <c r="E30" s="3">
        <v>143539.09</v>
      </c>
      <c r="F30" s="3">
        <v>154842.35097620834</v>
      </c>
      <c r="G30" s="5">
        <v>0.03</v>
      </c>
      <c r="H30" s="9">
        <v>48</v>
      </c>
      <c r="I30" s="2" t="s">
        <v>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3A6FCB8D59384FA23E7DEB2EFF06CC" ma:contentTypeVersion="10" ma:contentTypeDescription="Crie um novo documento." ma:contentTypeScope="" ma:versionID="01119c67670a03d1687ea3dcab0eae77">
  <xsd:schema xmlns:xsd="http://www.w3.org/2001/XMLSchema" xmlns:xs="http://www.w3.org/2001/XMLSchema" xmlns:p="http://schemas.microsoft.com/office/2006/metadata/properties" xmlns:ns2="0e3cc8ea-efda-4ff6-b342-bce7eccffec7" xmlns:ns3="6c8ed8a1-8968-410c-8b4d-03c2f52ac65e" targetNamespace="http://schemas.microsoft.com/office/2006/metadata/properties" ma:root="true" ma:fieldsID="9eaad1bb74b921a2f8e6d2096ce39702" ns2:_="" ns3:_="">
    <xsd:import namespace="0e3cc8ea-efda-4ff6-b342-bce7eccffec7"/>
    <xsd:import namespace="6c8ed8a1-8968-410c-8b4d-03c2f52ac6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3cc8ea-efda-4ff6-b342-bce7eccffe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340d1bc6-7faf-4664-ac4f-d5a50556f6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8ed8a1-8968-410c-8b4d-03c2f52ac65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496d0b5-32da-4e23-ab44-904b2dddac66}" ma:internalName="TaxCatchAll" ma:showField="CatchAllData" ma:web="6c8ed8a1-8968-410c-8b4d-03c2f52ac6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3cc8ea-efda-4ff6-b342-bce7eccffec7">
      <Terms xmlns="http://schemas.microsoft.com/office/infopath/2007/PartnerControls"/>
    </lcf76f155ced4ddcb4097134ff3c332f>
    <TaxCatchAll xmlns="6c8ed8a1-8968-410c-8b4d-03c2f52ac65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003212-0BFF-4766-A653-CD06BEDDDA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3cc8ea-efda-4ff6-b342-bce7eccffec7"/>
    <ds:schemaRef ds:uri="6c8ed8a1-8968-410c-8b4d-03c2f52ac6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A9654D-50FB-4309-8521-11F07D04ACE0}">
  <ds:schemaRefs>
    <ds:schemaRef ds:uri="http://purl.org/dc/dcmitype/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0e3cc8ea-efda-4ff6-b342-bce7eccffec7"/>
    <ds:schemaRef ds:uri="http://schemas.openxmlformats.org/package/2006/metadata/core-properties"/>
    <ds:schemaRef ds:uri="6c8ed8a1-8968-410c-8b4d-03c2f52ac65e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ED5781E-F3EE-425C-98FC-F42503DB5E3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Pipeline</vt:lpstr>
      <vt:lpstr>Carteira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Pedro Souza</dc:creator>
  <cp:lastModifiedBy>João Peterlini</cp:lastModifiedBy>
  <dcterms:created xsi:type="dcterms:W3CDTF">2026-03-06T19:51:22Z</dcterms:created>
  <dcterms:modified xsi:type="dcterms:W3CDTF">2026-03-23T20:20:43Z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0x010100B03A6FCB8D59384FA23E7DEB2EFF06CC</vt:lpwstr>
  </property>
  <property fmtid="{D5CDD505-2E9C-101B-9397-08002B2CF9AE}" pid="3" name="MediaServiceImageTags">
    <vt:lpwstr/>
  </property>
</Properties>
</file>