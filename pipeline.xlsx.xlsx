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garbank.sharepoint.com/sites/GymCred/Documentos Compartilhados/Controle/Novos Negócios/Pipeline Academias/"/>
    </mc:Choice>
  </mc:AlternateContent>
  <xr:revisionPtr revIDLastSave="7" documentId="6_{B1A76B9C-D489-8E4F-91C7-035E9F344680}" xr6:coauthVersionLast="47" xr6:coauthVersionMax="47" xr10:uidLastSave="{D00E0070-F71F-4156-BDA8-7DCB3EC47AC2}"/>
  <bookViews>
    <workbookView xWindow="-110" yWindow="-110" windowWidth="19420" windowHeight="10300" xr2:uid="{8017BD0A-1660-4F0C-B9A9-E8E9DC9F561E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F3" i="1"/>
  <c r="J3" i="1" s="1"/>
  <c r="I3" i="1" s="1"/>
  <c r="H2" i="1"/>
  <c r="F2" i="1"/>
  <c r="J2" i="1" s="1"/>
  <c r="I2" i="1" s="1"/>
  <c r="H23" i="1"/>
  <c r="H22" i="1"/>
  <c r="H21" i="1"/>
  <c r="H20" i="1"/>
  <c r="H19" i="1"/>
  <c r="H18" i="1"/>
  <c r="H17" i="1"/>
  <c r="H16" i="1"/>
  <c r="H15" i="1"/>
  <c r="H14" i="1"/>
  <c r="H13" i="1"/>
  <c r="H12" i="1"/>
  <c r="F23" i="1"/>
  <c r="I23" i="1" s="1"/>
  <c r="J23" i="1" s="1"/>
  <c r="F22" i="1"/>
  <c r="I22" i="1" s="1"/>
  <c r="J22" i="1" s="1"/>
  <c r="F21" i="1"/>
  <c r="I21" i="1" s="1"/>
  <c r="J21" i="1" s="1"/>
  <c r="F20" i="1"/>
  <c r="I20" i="1" s="1"/>
  <c r="J20" i="1" s="1"/>
  <c r="F19" i="1"/>
  <c r="F18" i="1"/>
  <c r="F17" i="1"/>
  <c r="I17" i="1" s="1"/>
  <c r="J17" i="1" s="1"/>
  <c r="F16" i="1"/>
  <c r="I16" i="1" s="1"/>
  <c r="J16" i="1" s="1"/>
  <c r="F15" i="1"/>
  <c r="I15" i="1" s="1"/>
  <c r="J15" i="1" s="1"/>
  <c r="F14" i="1"/>
  <c r="I14" i="1" s="1"/>
  <c r="J14" i="1" s="1"/>
  <c r="F13" i="1"/>
  <c r="I13" i="1" s="1"/>
  <c r="J13" i="1" s="1"/>
  <c r="F12" i="1"/>
  <c r="I12" i="1" s="1"/>
  <c r="J12" i="1" s="1"/>
  <c r="H11" i="1"/>
  <c r="J11" i="1"/>
  <c r="D11" i="1"/>
  <c r="D8" i="1"/>
  <c r="D10" i="1"/>
  <c r="J10" i="1"/>
  <c r="H10" i="1"/>
  <c r="H9" i="1"/>
  <c r="H8" i="1"/>
  <c r="H7" i="1"/>
  <c r="H6" i="1"/>
  <c r="H5" i="1"/>
  <c r="H4" i="1"/>
  <c r="J8" i="1"/>
  <c r="I8" i="1" s="1"/>
  <c r="F9" i="1"/>
  <c r="J9" i="1" s="1"/>
  <c r="I19" i="1"/>
  <c r="J19" i="1" s="1"/>
  <c r="I18" i="1"/>
  <c r="J18" i="1" s="1"/>
  <c r="F7" i="1"/>
  <c r="J7" i="1" s="1"/>
  <c r="I7" i="1" s="1"/>
  <c r="F6" i="1"/>
  <c r="J6" i="1" s="1"/>
  <c r="F5" i="1"/>
  <c r="J5" i="1" s="1"/>
  <c r="F4" i="1"/>
  <c r="J4" i="1" s="1"/>
  <c r="I4" i="1" l="1"/>
  <c r="I5" i="1"/>
  <c r="I6" i="1"/>
  <c r="I9" i="1"/>
  <c r="I11" i="1"/>
  <c r="I10" i="1"/>
  <c r="D9" i="1"/>
</calcChain>
</file>

<file path=xl/sharedStrings.xml><?xml version="1.0" encoding="utf-8"?>
<sst xmlns="http://schemas.openxmlformats.org/spreadsheetml/2006/main" count="76" uniqueCount="44">
  <si>
    <t>aprovado</t>
  </si>
  <si>
    <t xml:space="preserve"> aprovado </t>
  </si>
  <si>
    <t xml:space="preserve"> aprovado</t>
  </si>
  <si>
    <t>Valor</t>
  </si>
  <si>
    <t>Status</t>
  </si>
  <si>
    <t>Cliente</t>
  </si>
  <si>
    <t xml:space="preserve">cimerian </t>
  </si>
  <si>
    <t xml:space="preserve">starkstrong </t>
  </si>
  <si>
    <t xml:space="preserve">total health </t>
  </si>
  <si>
    <t xml:space="preserve">Drako </t>
  </si>
  <si>
    <t>Parceiro</t>
  </si>
  <si>
    <t xml:space="preserve">Edu Dos santos </t>
  </si>
  <si>
    <t>Entrada</t>
  </si>
  <si>
    <t>Valor financiado</t>
  </si>
  <si>
    <t>Valor liquido da operação</t>
  </si>
  <si>
    <t xml:space="preserve">Mario </t>
  </si>
  <si>
    <t xml:space="preserve">CT Saúde </t>
  </si>
  <si>
    <t xml:space="preserve">Rafael Amarante Diniz </t>
  </si>
  <si>
    <t xml:space="preserve">Pedro Ivo Almeida Silva Romão Gomes </t>
  </si>
  <si>
    <t xml:space="preserve">Jean Carlos Silva de Souza </t>
  </si>
  <si>
    <t xml:space="preserve">Isabella de Moraes Masuko/João Pedro Ribeiro Perez </t>
  </si>
  <si>
    <t xml:space="preserve">Lucas Guimarães Nascimento </t>
  </si>
  <si>
    <t xml:space="preserve">Juliana Silva Souza Lima </t>
  </si>
  <si>
    <t xml:space="preserve">Danielly Rubbo </t>
  </si>
  <si>
    <t xml:space="preserve">Rodrigo Otavio Gomes Correa </t>
  </si>
  <si>
    <t xml:space="preserve">Samer Fakir </t>
  </si>
  <si>
    <t xml:space="preserve">Genio </t>
  </si>
  <si>
    <t xml:space="preserve">Patrícia de Cássia Moreira Pereira </t>
  </si>
  <si>
    <t>TC</t>
  </si>
  <si>
    <t>JPR</t>
  </si>
  <si>
    <t>TC Total</t>
  </si>
  <si>
    <t>TC liquida</t>
  </si>
  <si>
    <t>Move Fitness</t>
  </si>
  <si>
    <t>Supertech</t>
  </si>
  <si>
    <t>Desembolso</t>
  </si>
  <si>
    <t>Metal Fitness</t>
  </si>
  <si>
    <t>CT Conexão</t>
  </si>
  <si>
    <t xml:space="preserve">Skyfit </t>
  </si>
  <si>
    <t>Supreme</t>
  </si>
  <si>
    <t>Panobianco</t>
  </si>
  <si>
    <t>Spartacus</t>
  </si>
  <si>
    <t>negado</t>
  </si>
  <si>
    <t>Total Fit (Smart Fit)</t>
  </si>
  <si>
    <t>Demerson Silva (Arapongas)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</si>
</sst>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/>
    <xf numFmtId="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F455-37C7-49A2-A1DC-22707877BFC7}">
  <dimension ref="A1:M26"/>
  <sheetViews>
    <sheetView showGridLines="0" tabSelected="1" zoomScaleNormal="70" workbookViewId="0">
      <selection activeCell="B10" sqref="B10"/>
    </sheetView>
  </sheetViews>
  <sheetFormatPr defaultColWidth="8.81640625" defaultRowHeight="14.5" x14ac:dyDescent="0.35"/>
  <cols>
    <col min="1" max="1" width="51.81640625" bestFit="1" customWidth="1"/>
    <col min="2" max="2" width="51.81640625" customWidth="1"/>
    <col min="3" max="3" width="12.6328125" customWidth="1"/>
    <col min="4" max="4" width="14" bestFit="1" customWidth="1"/>
    <col min="5" max="5" width="12.6328125" customWidth="1"/>
    <col min="6" max="6" width="20" bestFit="1" customWidth="1"/>
    <col min="7" max="9" width="12.6328125" customWidth="1"/>
    <col min="10" max="10" width="14.36328125" bestFit="1" customWidth="1"/>
    <col min="11" max="11" width="9.81640625" bestFit="1" customWidth="1"/>
    <col min="13" max="13" width="9.81640625" bestFit="1" customWidth="1"/>
  </cols>
  <sheetData>
    <row r="1" spans="1:13" x14ac:dyDescent="0.35">
      <c r="A1" s="7" t="s">
        <v>5</v>
      </c>
      <c r="B1" s="7" t="s">
        <v>10</v>
      </c>
      <c r="C1" s="8" t="s">
        <v>4</v>
      </c>
      <c r="D1" s="8" t="s">
        <v>3</v>
      </c>
      <c r="E1" s="8" t="s">
        <v>12</v>
      </c>
      <c r="F1" s="8" t="s">
        <v>14</v>
      </c>
      <c r="G1" s="8" t="s">
        <v>30</v>
      </c>
      <c r="H1" s="8" t="s">
        <v>31</v>
      </c>
      <c r="I1" s="8" t="s">
        <v>28</v>
      </c>
      <c r="J1" s="8" t="s">
        <v>13</v>
      </c>
    </row>
    <row r="2" spans="1:13" x14ac:dyDescent="0.35">
      <c r="A2" t="s">
        <v>39</v>
      </c>
      <c r="B2" t="s">
        <v>38</v>
      </c>
      <c r="C2" s="2" t="s">
        <v>0</v>
      </c>
      <c r="D2" s="4">
        <v>1179125.5</v>
      </c>
      <c r="E2" s="5">
        <v>0.1</v>
      </c>
      <c r="F2" s="4">
        <f t="shared" ref="F2:F7" si="0">D2*(1-E2)</f>
        <v>1061212.95</v>
      </c>
      <c r="G2" s="6">
        <v>0.06</v>
      </c>
      <c r="H2" s="6">
        <f>G2-0.5%</f>
        <v>5.5E-2</v>
      </c>
      <c r="I2" s="4">
        <f t="shared" ref="I2:I8" si="1">J2*H2</f>
        <v>62092.24707446809</v>
      </c>
      <c r="J2" s="4">
        <f t="shared" ref="J2" si="2">F2/(1-G2)</f>
        <v>1128949.9468085107</v>
      </c>
    </row>
    <row r="3" spans="1:13" x14ac:dyDescent="0.35">
      <c r="A3" t="s">
        <v>40</v>
      </c>
      <c r="B3" t="s">
        <v>33</v>
      </c>
      <c r="C3" s="2" t="s">
        <v>41</v>
      </c>
      <c r="D3" s="4">
        <v>125004</v>
      </c>
      <c r="E3" s="5">
        <v>0.2</v>
      </c>
      <c r="F3" s="4">
        <f t="shared" si="0"/>
        <v>100003.20000000001</v>
      </c>
      <c r="G3" s="6">
        <v>7.0000000000000007E-2</v>
      </c>
      <c r="H3" s="6">
        <f>G3-0.5%</f>
        <v>6.5000000000000002E-2</v>
      </c>
      <c r="I3" s="4">
        <f t="shared" si="1"/>
        <v>6989.4709677419369</v>
      </c>
      <c r="J3" s="4">
        <f t="shared" ref="J3" si="3">F3/(1-G3)</f>
        <v>107530.32258064518</v>
      </c>
    </row>
    <row r="4" spans="1:13" x14ac:dyDescent="0.35">
      <c r="A4" t="s">
        <v>37</v>
      </c>
      <c r="B4" t="s">
        <v>6</v>
      </c>
      <c r="C4" s="2" t="s">
        <v>1</v>
      </c>
      <c r="D4" s="4">
        <v>2350062.96</v>
      </c>
      <c r="E4" s="5">
        <v>0.2</v>
      </c>
      <c r="F4" s="4">
        <f t="shared" si="0"/>
        <v>1880050.368</v>
      </c>
      <c r="G4" s="6">
        <v>6.5000000000000002E-2</v>
      </c>
      <c r="H4" s="6">
        <f>G4-0.5%</f>
        <v>6.0000000000000005E-2</v>
      </c>
      <c r="I4" s="4">
        <f t="shared" si="1"/>
        <v>120644.94340106953</v>
      </c>
      <c r="J4" s="4">
        <f t="shared" ref="J4:J8" si="4">F4/(1-G4)</f>
        <v>2010749.0566844919</v>
      </c>
    </row>
    <row r="5" spans="1:13" x14ac:dyDescent="0.35">
      <c r="A5" t="s">
        <v>11</v>
      </c>
      <c r="B5" t="s">
        <v>6</v>
      </c>
      <c r="C5" s="2" t="s">
        <v>1</v>
      </c>
      <c r="D5" s="4">
        <v>416833.56</v>
      </c>
      <c r="E5" s="5">
        <v>0.1</v>
      </c>
      <c r="F5" s="4">
        <f t="shared" si="0"/>
        <v>375150.20400000003</v>
      </c>
      <c r="G5" s="6">
        <v>5.5E-2</v>
      </c>
      <c r="H5" s="6">
        <f t="shared" ref="H5:H23" si="5">G5-0.5%</f>
        <v>0.05</v>
      </c>
      <c r="I5" s="4">
        <f t="shared" si="1"/>
        <v>19849.217142857146</v>
      </c>
      <c r="J5" s="4">
        <f t="shared" si="4"/>
        <v>396984.34285714291</v>
      </c>
    </row>
    <row r="6" spans="1:13" x14ac:dyDescent="0.35">
      <c r="A6" t="s">
        <v>15</v>
      </c>
      <c r="B6" t="s">
        <v>6</v>
      </c>
      <c r="C6" s="2" t="s">
        <v>2</v>
      </c>
      <c r="D6" s="4">
        <v>201920</v>
      </c>
      <c r="E6" s="5">
        <v>0.1</v>
      </c>
      <c r="F6" s="4">
        <f t="shared" si="0"/>
        <v>181728</v>
      </c>
      <c r="G6" s="6">
        <v>5.5E-2</v>
      </c>
      <c r="H6" s="6">
        <f t="shared" si="5"/>
        <v>0.05</v>
      </c>
      <c r="I6" s="4">
        <f t="shared" si="1"/>
        <v>9615.2380952380972</v>
      </c>
      <c r="J6" s="4">
        <f t="shared" si="4"/>
        <v>192304.76190476192</v>
      </c>
    </row>
    <row r="7" spans="1:13" x14ac:dyDescent="0.35">
      <c r="A7" t="s">
        <v>16</v>
      </c>
      <c r="B7" t="s">
        <v>7</v>
      </c>
      <c r="C7" s="2" t="s">
        <v>1</v>
      </c>
      <c r="D7" s="4">
        <v>1234375.8899999999</v>
      </c>
      <c r="E7" s="5">
        <v>0.5</v>
      </c>
      <c r="F7" s="4">
        <f t="shared" si="0"/>
        <v>617187.94499999995</v>
      </c>
      <c r="G7" s="6">
        <v>6.5000000000000002E-2</v>
      </c>
      <c r="H7" s="6">
        <f t="shared" si="5"/>
        <v>6.0000000000000005E-2</v>
      </c>
      <c r="I7" s="4">
        <f t="shared" si="1"/>
        <v>39605.643529411762</v>
      </c>
      <c r="J7" s="4">
        <f t="shared" si="4"/>
        <v>660094.05882352928</v>
      </c>
    </row>
    <row r="8" spans="1:13" x14ac:dyDescent="0.35">
      <c r="A8" t="s">
        <v>42</v>
      </c>
      <c r="B8" t="s">
        <v>8</v>
      </c>
      <c r="C8" s="2" t="s">
        <v>1</v>
      </c>
      <c r="D8" s="4">
        <f t="shared" ref="D8:D9" si="6">F8/(1-E8)</f>
        <v>1129916</v>
      </c>
      <c r="E8" s="5">
        <v>0.2</v>
      </c>
      <c r="F8" s="4">
        <v>903932.8</v>
      </c>
      <c r="G8" s="6">
        <v>6.5000000000000002E-2</v>
      </c>
      <c r="H8" s="6">
        <f t="shared" si="5"/>
        <v>6.0000000000000005E-2</v>
      </c>
      <c r="I8" s="4">
        <f t="shared" si="1"/>
        <v>58006.382887700544</v>
      </c>
      <c r="J8" s="4">
        <f t="shared" si="4"/>
        <v>966773.04812834226</v>
      </c>
    </row>
    <row r="9" spans="1:13" x14ac:dyDescent="0.35">
      <c r="A9" t="s">
        <v>29</v>
      </c>
      <c r="B9" t="s">
        <v>6</v>
      </c>
      <c r="C9" s="2" t="s">
        <v>2</v>
      </c>
      <c r="D9" s="4">
        <f t="shared" si="6"/>
        <v>777355.45</v>
      </c>
      <c r="E9" s="5">
        <v>0.2</v>
      </c>
      <c r="F9" s="4">
        <f>665116.96-43232.6</f>
        <v>621884.36</v>
      </c>
      <c r="G9" s="6">
        <v>6.5000000000000002E-2</v>
      </c>
      <c r="H9" s="6">
        <f t="shared" si="5"/>
        <v>6.0000000000000005E-2</v>
      </c>
      <c r="I9" s="4">
        <f>J9*H9</f>
        <v>39907.017754010696</v>
      </c>
      <c r="J9" s="4">
        <f>F9/(1-G9)</f>
        <v>665116.96256684489</v>
      </c>
      <c r="K9" s="3"/>
      <c r="M9" s="1"/>
    </row>
    <row r="10" spans="1:13" x14ac:dyDescent="0.35">
      <c r="A10" t="s">
        <v>32</v>
      </c>
      <c r="B10" t="s">
        <v>33</v>
      </c>
      <c r="C10" s="2" t="s">
        <v>34</v>
      </c>
      <c r="D10" s="4">
        <f>F10/(1-E10)</f>
        <v>674871.17499999993</v>
      </c>
      <c r="E10" s="5">
        <v>0.2</v>
      </c>
      <c r="F10" s="4">
        <v>539896.93999999994</v>
      </c>
      <c r="G10" s="6">
        <v>7.4999999999999997E-2</v>
      </c>
      <c r="H10" s="6">
        <f t="shared" si="5"/>
        <v>6.9999999999999993E-2</v>
      </c>
      <c r="I10" s="4">
        <f>J10*H10</f>
        <v>40857.065729729722</v>
      </c>
      <c r="J10" s="4">
        <f>F10/(1-G10)</f>
        <v>583672.3675675675</v>
      </c>
      <c r="K10" s="3"/>
      <c r="M10" s="1"/>
    </row>
    <row r="11" spans="1:13" x14ac:dyDescent="0.35">
      <c r="A11" t="s">
        <v>36</v>
      </c>
      <c r="B11" t="s">
        <v>35</v>
      </c>
      <c r="C11" s="2" t="s">
        <v>34</v>
      </c>
      <c r="D11" s="4">
        <f>F11/(1-E11)</f>
        <v>300000</v>
      </c>
      <c r="E11" s="5">
        <v>0</v>
      </c>
      <c r="F11" s="4">
        <v>300000</v>
      </c>
      <c r="G11" s="6">
        <v>7.0000000000000007E-2</v>
      </c>
      <c r="H11" s="6">
        <f t="shared" si="5"/>
        <v>6.5000000000000002E-2</v>
      </c>
      <c r="I11" s="4">
        <f>J11*H11</f>
        <v>20967.741935483875</v>
      </c>
      <c r="J11" s="4">
        <f>F11/(1-G11)</f>
        <v>322580.64516129036</v>
      </c>
      <c r="K11" s="3"/>
      <c r="M11" s="1"/>
    </row>
    <row r="12" spans="1:13" x14ac:dyDescent="0.35">
      <c r="A12" t="s">
        <v>17</v>
      </c>
      <c r="B12" t="s">
        <v>9</v>
      </c>
      <c r="C12" s="2" t="s">
        <v>2</v>
      </c>
      <c r="D12" s="4">
        <v>2000000</v>
      </c>
      <c r="E12" s="5">
        <v>0.2</v>
      </c>
      <c r="F12" s="4">
        <f t="shared" ref="F12:F23" si="7">D12*(1-E12)</f>
        <v>1600000</v>
      </c>
      <c r="G12" s="6">
        <v>0.05</v>
      </c>
      <c r="H12" s="6">
        <f t="shared" si="5"/>
        <v>4.5000000000000005E-2</v>
      </c>
      <c r="I12" s="4">
        <f t="shared" ref="I12:I23" si="8">F12*G12</f>
        <v>80000</v>
      </c>
      <c r="J12" s="4">
        <f t="shared" ref="J12:J23" si="9">F12+I12</f>
        <v>1680000</v>
      </c>
    </row>
    <row r="13" spans="1:13" x14ac:dyDescent="0.35">
      <c r="A13" t="s">
        <v>18</v>
      </c>
      <c r="B13" t="s">
        <v>9</v>
      </c>
      <c r="C13" s="2" t="s">
        <v>2</v>
      </c>
      <c r="D13" s="4">
        <v>2000000</v>
      </c>
      <c r="E13" s="5">
        <v>0.2</v>
      </c>
      <c r="F13" s="4">
        <f t="shared" si="7"/>
        <v>1600000</v>
      </c>
      <c r="G13" s="6">
        <v>0.05</v>
      </c>
      <c r="H13" s="6">
        <f t="shared" si="5"/>
        <v>4.5000000000000005E-2</v>
      </c>
      <c r="I13" s="4">
        <f t="shared" si="8"/>
        <v>80000</v>
      </c>
      <c r="J13" s="4">
        <f t="shared" si="9"/>
        <v>1680000</v>
      </c>
    </row>
    <row r="14" spans="1:13" x14ac:dyDescent="0.35">
      <c r="A14" t="s">
        <v>19</v>
      </c>
      <c r="B14" t="s">
        <v>9</v>
      </c>
      <c r="C14" s="2" t="s">
        <v>2</v>
      </c>
      <c r="D14" s="4">
        <v>2000000</v>
      </c>
      <c r="E14" s="5">
        <v>0.2</v>
      </c>
      <c r="F14" s="4">
        <f t="shared" si="7"/>
        <v>1600000</v>
      </c>
      <c r="G14" s="6">
        <v>0.05</v>
      </c>
      <c r="H14" s="6">
        <f t="shared" si="5"/>
        <v>4.5000000000000005E-2</v>
      </c>
      <c r="I14" s="4">
        <f t="shared" si="8"/>
        <v>80000</v>
      </c>
      <c r="J14" s="4">
        <f t="shared" si="9"/>
        <v>1680000</v>
      </c>
    </row>
    <row r="15" spans="1:13" x14ac:dyDescent="0.35">
      <c r="A15" t="s">
        <v>20</v>
      </c>
      <c r="B15" t="s">
        <v>9</v>
      </c>
      <c r="C15" s="2" t="s">
        <v>2</v>
      </c>
      <c r="D15" s="4">
        <v>4000000</v>
      </c>
      <c r="E15" s="5">
        <v>0.2</v>
      </c>
      <c r="F15" s="4">
        <f t="shared" si="7"/>
        <v>3200000</v>
      </c>
      <c r="G15" s="6">
        <v>0.05</v>
      </c>
      <c r="H15" s="6">
        <f t="shared" si="5"/>
        <v>4.5000000000000005E-2</v>
      </c>
      <c r="I15" s="4">
        <f t="shared" si="8"/>
        <v>160000</v>
      </c>
      <c r="J15" s="4">
        <f t="shared" si="9"/>
        <v>3360000</v>
      </c>
    </row>
    <row r="16" spans="1:13" x14ac:dyDescent="0.35">
      <c r="A16" t="s">
        <v>21</v>
      </c>
      <c r="B16" t="s">
        <v>9</v>
      </c>
      <c r="C16" s="2" t="s">
        <v>2</v>
      </c>
      <c r="D16" s="4">
        <v>2000000</v>
      </c>
      <c r="E16" s="5">
        <v>0.2</v>
      </c>
      <c r="F16" s="4">
        <f t="shared" si="7"/>
        <v>1600000</v>
      </c>
      <c r="G16" s="6">
        <v>0.05</v>
      </c>
      <c r="H16" s="6">
        <f t="shared" si="5"/>
        <v>4.5000000000000005E-2</v>
      </c>
      <c r="I16" s="4">
        <f t="shared" si="8"/>
        <v>80000</v>
      </c>
      <c r="J16" s="4">
        <f t="shared" si="9"/>
        <v>1680000</v>
      </c>
    </row>
    <row r="17" spans="1:10" x14ac:dyDescent="0.35">
      <c r="A17" t="s">
        <v>22</v>
      </c>
      <c r="B17" t="s">
        <v>9</v>
      </c>
      <c r="C17" s="2" t="s">
        <v>2</v>
      </c>
      <c r="D17" s="4">
        <v>3500000</v>
      </c>
      <c r="E17" s="5">
        <v>0.2</v>
      </c>
      <c r="F17" s="4">
        <f t="shared" si="7"/>
        <v>2800000</v>
      </c>
      <c r="G17" s="6">
        <v>0.05</v>
      </c>
      <c r="H17" s="6">
        <f t="shared" si="5"/>
        <v>4.5000000000000005E-2</v>
      </c>
      <c r="I17" s="4">
        <f t="shared" si="8"/>
        <v>140000</v>
      </c>
      <c r="J17" s="4">
        <f t="shared" si="9"/>
        <v>2940000</v>
      </c>
    </row>
    <row r="18" spans="1:10" x14ac:dyDescent="0.35">
      <c r="A18" t="s">
        <v>23</v>
      </c>
      <c r="B18" t="s">
        <v>9</v>
      </c>
      <c r="C18" s="2" t="s">
        <v>2</v>
      </c>
      <c r="D18" s="4">
        <v>3360000</v>
      </c>
      <c r="E18" s="5">
        <v>0.2</v>
      </c>
      <c r="F18" s="4">
        <f t="shared" si="7"/>
        <v>2688000</v>
      </c>
      <c r="G18" s="6">
        <v>0.05</v>
      </c>
      <c r="H18" s="6">
        <f t="shared" si="5"/>
        <v>4.5000000000000005E-2</v>
      </c>
      <c r="I18" s="4">
        <f t="shared" si="8"/>
        <v>134400</v>
      </c>
      <c r="J18" s="4">
        <f t="shared" si="9"/>
        <v>2822400</v>
      </c>
    </row>
    <row r="19" spans="1:10" x14ac:dyDescent="0.35">
      <c r="A19" t="s">
        <v>24</v>
      </c>
      <c r="B19" t="s">
        <v>9</v>
      </c>
      <c r="C19" s="2" t="s">
        <v>2</v>
      </c>
      <c r="D19" s="4">
        <v>2000000</v>
      </c>
      <c r="E19" s="5">
        <v>0</v>
      </c>
      <c r="F19" s="4">
        <f t="shared" si="7"/>
        <v>2000000</v>
      </c>
      <c r="G19" s="6">
        <v>0.05</v>
      </c>
      <c r="H19" s="6">
        <f t="shared" si="5"/>
        <v>4.5000000000000005E-2</v>
      </c>
      <c r="I19" s="4">
        <f t="shared" si="8"/>
        <v>100000</v>
      </c>
      <c r="J19" s="4">
        <f t="shared" si="9"/>
        <v>2100000</v>
      </c>
    </row>
    <row r="20" spans="1:10" x14ac:dyDescent="0.35">
      <c r="A20" t="s">
        <v>25</v>
      </c>
      <c r="B20" t="s">
        <v>9</v>
      </c>
      <c r="C20" s="2" t="s">
        <v>2</v>
      </c>
      <c r="D20" s="4"/>
      <c r="E20" s="2"/>
      <c r="F20" s="4">
        <f t="shared" si="7"/>
        <v>0</v>
      </c>
      <c r="G20" s="6">
        <v>0.05</v>
      </c>
      <c r="H20" s="6">
        <f t="shared" si="5"/>
        <v>4.5000000000000005E-2</v>
      </c>
      <c r="I20" s="4">
        <f t="shared" si="8"/>
        <v>0</v>
      </c>
      <c r="J20" s="4">
        <f t="shared" si="9"/>
        <v>0</v>
      </c>
    </row>
    <row r="21" spans="1:10" x14ac:dyDescent="0.35">
      <c r="A21" t="s">
        <v>26</v>
      </c>
      <c r="B21" t="s">
        <v>9</v>
      </c>
      <c r="C21" s="2" t="s">
        <v>2</v>
      </c>
      <c r="D21" s="4">
        <v>691400</v>
      </c>
      <c r="E21" s="5">
        <v>0.1</v>
      </c>
      <c r="F21" s="4">
        <f t="shared" si="7"/>
        <v>622260</v>
      </c>
      <c r="G21" s="6">
        <v>0.05</v>
      </c>
      <c r="H21" s="6">
        <f t="shared" si="5"/>
        <v>4.5000000000000005E-2</v>
      </c>
      <c r="I21" s="4">
        <f t="shared" si="8"/>
        <v>31113</v>
      </c>
      <c r="J21" s="4">
        <f t="shared" si="9"/>
        <v>653373</v>
      </c>
    </row>
    <row r="22" spans="1:10" x14ac:dyDescent="0.35">
      <c r="A22" t="s">
        <v>27</v>
      </c>
      <c r="B22" t="s">
        <v>9</v>
      </c>
      <c r="C22" s="2" t="s">
        <v>2</v>
      </c>
      <c r="D22" s="4">
        <v>2000000</v>
      </c>
      <c r="E22" s="5">
        <v>0.2</v>
      </c>
      <c r="F22" s="4">
        <f t="shared" si="7"/>
        <v>1600000</v>
      </c>
      <c r="G22" s="6">
        <v>0.05</v>
      </c>
      <c r="H22" s="6">
        <f t="shared" si="5"/>
        <v>4.5000000000000005E-2</v>
      </c>
      <c r="I22" s="4">
        <f t="shared" si="8"/>
        <v>80000</v>
      </c>
      <c r="J22" s="4">
        <f t="shared" si="9"/>
        <v>1680000</v>
      </c>
    </row>
    <row r="23" spans="1:10" x14ac:dyDescent="0.35">
      <c r="A23" t="s">
        <v>43</v>
      </c>
      <c r="B23" t="s">
        <v>9</v>
      </c>
      <c r="C23" s="2" t="s">
        <v>41</v>
      </c>
      <c r="D23" s="4">
        <v>2000000</v>
      </c>
      <c r="E23" s="5">
        <v>0.2</v>
      </c>
      <c r="F23" s="4">
        <f t="shared" si="7"/>
        <v>1600000</v>
      </c>
      <c r="G23" s="6">
        <v>0.05</v>
      </c>
      <c r="H23" s="6">
        <f t="shared" si="5"/>
        <v>4.5000000000000005E-2</v>
      </c>
      <c r="I23" s="4">
        <f t="shared" si="8"/>
        <v>80000</v>
      </c>
      <c r="J23" s="4">
        <f t="shared" si="9"/>
        <v>1680000</v>
      </c>
    </row>
    <row r="25" spans="1:10" x14ac:dyDescent="0.35">
      <c r="I25" s="1"/>
    </row>
    <row r="26" spans="1:10" x14ac:dyDescent="0.35">
      <c r="I2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3cc8ea-efda-4ff6-b342-bce7eccffec7">
      <Terms xmlns="http://schemas.microsoft.com/office/infopath/2007/PartnerControls"/>
    </lcf76f155ced4ddcb4097134ff3c332f>
    <TaxCatchAll xmlns="6c8ed8a1-8968-410c-8b4d-03c2f52ac65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3A6FCB8D59384FA23E7DEB2EFF06CC" ma:contentTypeVersion="10" ma:contentTypeDescription="Crie um novo documento." ma:contentTypeScope="" ma:versionID="01119c67670a03d1687ea3dcab0eae77">
  <xsd:schema xmlns:xsd="http://www.w3.org/2001/XMLSchema" xmlns:xs="http://www.w3.org/2001/XMLSchema" xmlns:p="http://schemas.microsoft.com/office/2006/metadata/properties" xmlns:ns2="0e3cc8ea-efda-4ff6-b342-bce7eccffec7" xmlns:ns3="6c8ed8a1-8968-410c-8b4d-03c2f52ac65e" targetNamespace="http://schemas.microsoft.com/office/2006/metadata/properties" ma:root="true" ma:fieldsID="9eaad1bb74b921a2f8e6d2096ce39702" ns2:_="" ns3:_="">
    <xsd:import namespace="0e3cc8ea-efda-4ff6-b342-bce7eccffec7"/>
    <xsd:import namespace="6c8ed8a1-8968-410c-8b4d-03c2f52ac6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cc8ea-efda-4ff6-b342-bce7eccffe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40d1bc6-7faf-4664-ac4f-d5a50556f6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8ed8a1-8968-410c-8b4d-03c2f52ac65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496d0b5-32da-4e23-ab44-904b2dddac66}" ma:internalName="TaxCatchAll" ma:showField="CatchAllData" ma:web="6c8ed8a1-8968-410c-8b4d-03c2f52ac6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A9654D-50FB-4309-8521-11F07D04ACE0}">
  <ds:schemaRefs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0e3cc8ea-efda-4ff6-b342-bce7eccffec7"/>
    <ds:schemaRef ds:uri="http://schemas.openxmlformats.org/package/2006/metadata/core-properties"/>
    <ds:schemaRef ds:uri="6c8ed8a1-8968-410c-8b4d-03c2f52ac65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7003212-0BFF-4766-A653-CD06BEDDDA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3cc8ea-efda-4ff6-b342-bce7eccffec7"/>
    <ds:schemaRef ds:uri="6c8ed8a1-8968-410c-8b4d-03c2f52ac6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D5781E-F3EE-425C-98FC-F42503DB5E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Pedro Souza</dc:creator>
  <cp:lastModifiedBy>João Peterlini</cp:lastModifiedBy>
  <dcterms:created xsi:type="dcterms:W3CDTF">2026-03-06T19:51:22Z</dcterms:created>
  <dcterms:modified xsi:type="dcterms:W3CDTF">2026-03-23T18:28:42Z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0x010100B03A6FCB8D59384FA23E7DEB2EFF06CC</vt:lpwstr>
  </property>
  <property fmtid="{D5CDD505-2E9C-101B-9397-08002B2CF9AE}" pid="3" name="MediaServiceImageTags">
    <vt:lpwstr/>
  </property>
</Properties>
</file>